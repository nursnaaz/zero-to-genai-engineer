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Temperature" sheetId="2" r:id="rId6"/>
    <sheet state="visible" name="TopP_TopK" sheetId="3" r:id="rId7"/>
  </sheets>
  <definedNames/>
  <calcPr/>
</workbook>
</file>

<file path=xl/sharedStrings.xml><?xml version="1.0" encoding="utf-8"?>
<sst xmlns="http://schemas.openxmlformats.org/spreadsheetml/2006/main" count="190" uniqueCount="131">
  <si>
    <t>How an LLM Picks the Next Word</t>
  </si>
  <si>
    <t>Setup for both worksheets: We give the model the prompt  «The cat sat on the ___»  and look at how it picks the next word. The model already has a probability for every word in its vocabulary. Temperature, Top-K, and Top-P are three knobs that decide HOW we pick.</t>
  </si>
  <si>
    <t>The Three Concepts at a Glance</t>
  </si>
  <si>
    <t>Concept</t>
  </si>
  <si>
    <t>What it does (one line)</t>
  </si>
  <si>
    <t>Temperature</t>
  </si>
  <si>
    <t>Controls HOW WILD the choice can be. Low = safe &amp; predictable. High = creative &amp; surprising.</t>
  </si>
  <si>
    <t>Top-K</t>
  </si>
  <si>
    <t>Keeps only the K most likely words. A FIXED-SIZE shortlist. Everything else is thrown away.</t>
  </si>
  <si>
    <t>Top-P</t>
  </si>
  <si>
    <t>Keeps the smallest set of top words whose probabilities ADD UP to at least P. A SMART, dynamic shortlist.</t>
  </si>
  <si>
    <t>Classroom Analogy</t>
  </si>
  <si>
    <t>The chef's mood. Cold mood → always serves the customer favourite. Hot mood → might invent a new dish.</t>
  </si>
  <si>
    <t>A fixed shortlist for a job interview. 'I will only interview the top 5 candidates. Everyone else — rejected.'</t>
  </si>
  <si>
    <t>A smart shortlist. 'I'll keep candidates until I've covered 90% of the realistic ones.' If one is clearly best, the shortlist is just one person.</t>
  </si>
  <si>
    <t>How to Read These Sheets</t>
  </si>
  <si>
    <t>•  Sheet «Temperature»: starts from raw logit scores and shows how the SAME numbers turn into very different probabilities under Cold (T=0.5), Normal (T=1.0), and Hot (T=2.0).</t>
  </si>
  <si>
    <t>•  Sheet «Top-P &amp; Top-K»: starts from final probabilities and shows which words get KEPT and which get DROPPED under different K and P values.</t>
  </si>
  <si>
    <t>•  Yellow cells = inputs you can change. The formulas update automatically.</t>
  </si>
  <si>
    <t>•  Green rows = words that survive the filter. Orange rows = words that get dropped.</t>
  </si>
  <si>
    <t>TEMPERATURE  —  How «hot» or «cold» is the model?</t>
  </si>
  <si>
    <t>FORMULA used by every LLM:   probability_i  =  exp(logit_i / T)  ÷  Σ exp(logit_j / T)
In simple words: divide every raw score by T, take e^x, then divide by the total so they add up to 1.
Low T (cold) makes big scores even bigger → safe choice.   High T (hot) flattens everything → creative choice.</t>
  </si>
  <si>
    <t>STEP 1  —  The raw scores (called «logits») the model produces</t>
  </si>
  <si>
    <t>Word</t>
  </si>
  <si>
    <t>Logit (raw score)</t>
  </si>
  <si>
    <t>Plain English</t>
  </si>
  <si>
    <t>mat</t>
  </si>
  <si>
    <t>Most likely (highest score)</t>
  </si>
  <si>
    <t>chair</t>
  </si>
  <si>
    <t>Second favourite</t>
  </si>
  <si>
    <t>floor</t>
  </si>
  <si>
    <t>Third option</t>
  </si>
  <si>
    <t>sofa</t>
  </si>
  <si>
    <t>Fourth option</t>
  </si>
  <si>
    <t>table</t>
  </si>
  <si>
    <t>Least likely of the 5</t>
  </si>
  <si>
    <t>Yellow cells are inputs — change a logit and watch every probability below recalculate.</t>
  </si>
  <si>
    <t>STEP 2  —  Same scores, three temperatures, very different results</t>
  </si>
  <si>
    <t>Temperature →</t>
  </si>
  <si>
    <t>T = 0.5  (Cold)</t>
  </si>
  <si>
    <t>T = 1.0  (Normal)</t>
  </si>
  <si>
    <t>T = 2.0  (Hot)</t>
  </si>
  <si>
    <t>T value</t>
  </si>
  <si>
    <t>Logit</t>
  </si>
  <si>
    <t>exp(L/T)</t>
  </si>
  <si>
    <t>Probability</t>
  </si>
  <si>
    <t>TOTAL</t>
  </si>
  <si>
    <t>STEP 3  —  Walk through ONE cell so the student sees the maths</t>
  </si>
  <si>
    <t>•  Take the word «mat» (logit = 4.0) at T = 0.5 (Cold).</t>
  </si>
  <si>
    <t>•  First we divide:  4.0 ÷ 0.5  =  8.0</t>
  </si>
  <si>
    <t>•  Then we apply e^x:  e^8.0  ≈  2,981</t>
  </si>
  <si>
    <t>•  Do the same for every other word and add them up. The total is in row 26 above.</t>
  </si>
  <si>
    <t>•  Probability of «mat»  =  2,981 ÷ TOTAL  ≈  83%   (see cell E21).</t>
  </si>
  <si>
    <t>•  That is why a cold model picks «mat» almost every time.</t>
  </si>
  <si>
    <t>STEP 4  —  What the student should NOTICE</t>
  </si>
  <si>
    <t>•  Cold (T=0.5):  «mat» grabs ~83%. The other 4 words barely exist. Output is boring but very predictable.</t>
  </si>
  <si>
    <t>•  Normal (T=1.0):  «mat» is ~55%. There is room for «chair» and «floor». Balanced output.</t>
  </si>
  <si>
    <t>•  Hot (T=2.0):  «mat» drops to ~37%. Even «table» now has ~10%. The model can surprise you.</t>
  </si>
  <si>
    <t>•  Key takeaway: temperature does NOT change the order of words. It only changes HOW MUCH the top word dominates.</t>
  </si>
  <si>
    <t>TOP-K  &amp;  TOP-P  —  Which words make the shortlist?</t>
  </si>
  <si>
    <t>Both Top-K and Top-P start AFTER probabilities are already known. They cut down the list of candidates before the model picks one. Top-K = «keep the top K words». Top-P = «keep the top words until their probabilities add up to P». After cutting, the surviving probabilities are RE-NORMALISED to add up to 100% again.</t>
  </si>
  <si>
    <t>STEP 1  —  The probabilities (already calculated by the model)</t>
  </si>
  <si>
    <t>Rank</t>
  </si>
  <si>
    <t>Cumulative</t>
  </si>
  <si>
    <t>The obvious answer</t>
  </si>
  <si>
    <t>Also very natural</t>
  </si>
  <si>
    <t>Reasonable</t>
  </si>
  <si>
    <t>Possible but less common</t>
  </si>
  <si>
    <t>roof</t>
  </si>
  <si>
    <t>Unusual</t>
  </si>
  <si>
    <t>moon</t>
  </si>
  <si>
    <t>Weird</t>
  </si>
  <si>
    <t>pizza</t>
  </si>
  <si>
    <t>Very weird</t>
  </si>
  <si>
    <t>Total</t>
  </si>
  <si>
    <t>(should equal 100%)</t>
  </si>
  <si>
    <t>The «Cumulative» column is the running total. It tells us: «If I include all words from rank 1 down to here, how much of the probability have I covered?» This is the secret ingredient for Top-P.</t>
  </si>
  <si>
    <t>STEP 2  —  TOP-K  (keep only the top K words, throw the rest away)</t>
  </si>
  <si>
    <t>K =</t>
  </si>
  <si>
    <t>K = 1</t>
  </si>
  <si>
    <t>K = 3</t>
  </si>
  <si>
    <t>K = 5</t>
  </si>
  <si>
    <t>K value:</t>
  </si>
  <si>
    <t>Orig P</t>
  </si>
  <si>
    <t>Keep?</t>
  </si>
  <si>
    <t>New P</t>
  </si>
  <si>
    <t>Notice with K=1 the model is forced to say «mat» 100% of the time. With K=3 the new probabilities are stretched: «mat» went from 40% to 50% because we threw away words but kept the same total of 100%. This «stretching» is called RE-NORMALISATION.</t>
  </si>
  <si>
    <t>STEP 3  —  TOP-P  (keep the smallest set whose probabilities add up to at least P)</t>
  </si>
  <si>
    <t>P = 0.5  (very tight)</t>
  </si>
  <si>
    <t>P = 0.8  (balanced)</t>
  </si>
  <si>
    <t>P = 0.9  (loose)</t>
  </si>
  <si>
    <t>P value:</t>
  </si>
  <si>
    <t>Cum P</t>
  </si>
  <si>
    <t>How Top-P decides «keep»: a word is kept if the cumulative BEFORE adding it is still less than P. Example for P=0.8: «sofa» has previous cumulative 80%, which is NOT less than 0.8, so sofa is dropped. But «floor» has previous cumulative 65%, which is less than 0.8, so floor is kept.</t>
  </si>
  <si>
    <t>STEP 4  —  Walk through ONE example for the student</t>
  </si>
  <si>
    <t>•  Take P = 0.8.   Cumulative columns from STEP 1: mat=40%, chair=65%, floor=80%, sofa=90%, table=95%, …</t>
  </si>
  <si>
    <t>•  We add words one by one until the running total REACHES 80% (the P value).</t>
  </si>
  <si>
    <t>•  After «mat» the total is 40%, less than 80% → keep mat and continue.</t>
  </si>
  <si>
    <t>•  After «chair» the total is 65%, less than 80% → keep chair and continue.</t>
  </si>
  <si>
    <t>•  After «floor» the total is 80%, which is now AT the limit → floor is the LAST one we keep.</t>
  </si>
  <si>
    <t>•  Everything from «sofa» onwards is dropped.</t>
  </si>
  <si>
    <t>•  Re-normalise the 3 survivors so they add to 100%:  mat=40/80=50%,  chair=25/80=31%,  floor=15/80=19%.</t>
  </si>
  <si>
    <t>•  That matches the «New P» column under P = 0.8 above.</t>
  </si>
  <si>
    <t>STEP 5  —  TOP-K versus TOP-P  (when does each behave differently?)</t>
  </si>
  <si>
    <t>Situation</t>
  </si>
  <si>
    <t>What Top-K does</t>
  </si>
  <si>
    <t>What Top-P does</t>
  </si>
  <si>
    <t>ONE clear winner: «The capital of France is __» (Paris = 99%)</t>
  </si>
  <si>
    <t>K=5 still keeps 4 nonsense words alongside Paris. Wasteful.</t>
  </si>
  <si>
    <t>P=0.9 stops at Paris alone. Smart — automatically tight.</t>
  </si>
  <si>
    <t>MANY good options: «My favourite colour is __» (many similar probs)</t>
  </si>
  <si>
    <t>K=5 cuts off colours that may be just as valid.</t>
  </si>
  <si>
    <t>P=0.9 keeps as many colours as needed to cover 90%. Smart — automatically wide.</t>
  </si>
  <si>
    <t>Why teach BOTH</t>
  </si>
  <si>
    <t>Top-K is the easier idea. It builds intuition about «cutting off the tail».</t>
  </si>
  <si>
    <t>Top-P is what real systems use because it adapts to the situation.</t>
  </si>
  <si>
    <t>Recommended values  (cheat-sheet for the student)</t>
  </si>
  <si>
    <t>Use case</t>
  </si>
  <si>
    <t>Factual Q&amp;A / facts</t>
  </si>
  <si>
    <t>0.2</t>
  </si>
  <si>
    <t>0.9</t>
  </si>
  <si>
    <t>Code generation</t>
  </si>
  <si>
    <t>0.1</t>
  </si>
  <si>
    <t>0.95</t>
  </si>
  <si>
    <t>Summarisation</t>
  </si>
  <si>
    <t>0.3</t>
  </si>
  <si>
    <t>Conversational chat</t>
  </si>
  <si>
    <t>0.7</t>
  </si>
  <si>
    <t>Creative writing</t>
  </si>
  <si>
    <t>Brainstorming</t>
  </si>
  <si>
    <t>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</si>
</sst>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%"/>
  </numFmts>
  <fonts count="9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0.0"/>
      <color rgb="FF595959"/>
      <name val="Arial"/>
    </font>
    <font>
      <b/>
      <sz val="13.0"/>
      <color rgb="FFFFFFFF"/>
      <name val="Arial"/>
    </font>
    <font>
      <b/>
      <sz val="11.0"/>
      <color rgb="FF1F3864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6">
    <border/>
    <border>
      <left/>
      <top/>
      <bottom/>
    </border>
    <border>
      <right/>
      <top/>
      <bottom/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  <border>
      <top/>
    </border>
    <border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vertical="top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4" fontId="4" numFmtId="0" xfId="0" applyAlignment="1" applyBorder="1" applyFill="1" applyFont="1">
      <alignment horizontal="left" shrinkToFit="0" vertical="center" wrapText="0"/>
    </xf>
    <xf borderId="9" fillId="5" fontId="5" numFmtId="0" xfId="0" applyAlignment="1" applyBorder="1" applyFill="1" applyFont="1">
      <alignment horizontal="center" shrinkToFit="0" vertical="center" wrapText="1"/>
    </xf>
    <xf borderId="9" fillId="0" fontId="6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6" fontId="8" numFmtId="164" xfId="0" applyAlignment="1" applyBorder="1" applyFill="1" applyFont="1" applyNumberForma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3" fillId="5" fontId="5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3" fillId="6" fontId="8" numFmtId="164" xfId="0" applyAlignment="1" applyBorder="1" applyFont="1" applyNumberFormat="1">
      <alignment horizontal="center" shrinkToFit="0" vertical="center" wrapText="1"/>
    </xf>
    <xf borderId="9" fillId="0" fontId="7" numFmtId="164" xfId="0" applyAlignment="1" applyBorder="1" applyFont="1" applyNumberFormat="1">
      <alignment horizontal="center" shrinkToFit="0" vertical="center" wrapText="1"/>
    </xf>
    <xf borderId="9" fillId="0" fontId="7" numFmtId="165" xfId="0" applyAlignment="1" applyBorder="1" applyFont="1" applyNumberFormat="1">
      <alignment horizontal="center" shrinkToFit="0" vertical="center" wrapText="1"/>
    </xf>
    <xf borderId="9" fillId="0" fontId="7" numFmtId="166" xfId="0" applyAlignment="1" applyBorder="1" applyFont="1" applyNumberFormat="1">
      <alignment horizontal="center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9" fillId="5" fontId="7" numFmtId="0" xfId="0" applyAlignment="1" applyBorder="1" applyFont="1">
      <alignment horizontal="left" shrinkToFit="0" vertical="center" wrapText="1"/>
    </xf>
    <xf borderId="9" fillId="5" fontId="6" numFmtId="165" xfId="0" applyAlignment="1" applyBorder="1" applyFont="1" applyNumberFormat="1">
      <alignment horizontal="center" shrinkToFit="0" vertical="center" wrapText="1"/>
    </xf>
    <xf borderId="9" fillId="5" fontId="6" numFmtId="166" xfId="0" applyAlignment="1" applyBorder="1" applyFont="1" applyNumberFormat="1">
      <alignment horizontal="center" shrinkToFit="0" vertical="center" wrapText="1"/>
    </xf>
    <xf borderId="9" fillId="6" fontId="8" numFmtId="166" xfId="0" applyAlignment="1" applyBorder="1" applyFont="1" applyNumberFormat="1">
      <alignment horizontal="center" shrinkToFit="0" vertical="center" wrapText="1"/>
    </xf>
    <xf borderId="13" fillId="0" fontId="7" numFmtId="0" xfId="0" applyAlignment="1" applyBorder="1" applyFont="1">
      <alignment horizontal="left" shrinkToFit="0" vertical="center" wrapText="1"/>
    </xf>
    <xf borderId="13" fillId="5" fontId="3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9" fillId="6" fontId="8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9" fillId="6" fontId="8" numFmtId="2" xfId="0" applyAlignment="1" applyBorder="1" applyFont="1" applyNumberForma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70.0"/>
    <col customWidth="1" min="4" max="4" width="4.0"/>
    <col customWidth="1" min="5" max="26" width="8.71"/>
  </cols>
  <sheetData>
    <row r="2" ht="31.5" customHeight="1">
      <c r="B2" s="1" t="s">
        <v>0</v>
      </c>
      <c r="C2" s="2"/>
    </row>
    <row r="3" ht="18.0" customHeight="1">
      <c r="B3" s="3" t="s">
        <v>1</v>
      </c>
      <c r="C3" s="4"/>
    </row>
    <row r="4" ht="18.0" customHeight="1">
      <c r="B4" s="5"/>
      <c r="C4" s="6"/>
    </row>
    <row r="5" ht="18.0" customHeight="1">
      <c r="B5" s="7"/>
      <c r="C5" s="8"/>
    </row>
    <row r="7" ht="24.0" customHeight="1">
      <c r="B7" s="9" t="s">
        <v>2</v>
      </c>
      <c r="C7" s="2"/>
    </row>
    <row r="8" ht="31.5" customHeight="1">
      <c r="B8" s="10" t="s">
        <v>3</v>
      </c>
      <c r="C8" s="10" t="s">
        <v>4</v>
      </c>
    </row>
    <row r="9" ht="31.5" customHeight="1">
      <c r="B9" s="11" t="s">
        <v>5</v>
      </c>
      <c r="C9" s="12" t="s">
        <v>6</v>
      </c>
    </row>
    <row r="10" ht="31.5" customHeight="1">
      <c r="B10" s="11" t="s">
        <v>7</v>
      </c>
      <c r="C10" s="12" t="s">
        <v>8</v>
      </c>
    </row>
    <row r="11" ht="31.5" customHeight="1">
      <c r="B11" s="11" t="s">
        <v>9</v>
      </c>
      <c r="C11" s="12" t="s">
        <v>10</v>
      </c>
    </row>
    <row r="13" ht="24.0" customHeight="1">
      <c r="B13" s="9" t="s">
        <v>11</v>
      </c>
      <c r="C13" s="2"/>
    </row>
    <row r="14" ht="31.5" customHeight="1">
      <c r="B14" s="11" t="s">
        <v>5</v>
      </c>
      <c r="C14" s="12" t="s">
        <v>12</v>
      </c>
    </row>
    <row r="15" ht="31.5" customHeight="1">
      <c r="B15" s="11" t="s">
        <v>7</v>
      </c>
      <c r="C15" s="12" t="s">
        <v>13</v>
      </c>
    </row>
    <row r="16" ht="31.5" customHeight="1">
      <c r="B16" s="11" t="s">
        <v>9</v>
      </c>
      <c r="C16" s="12" t="s">
        <v>14</v>
      </c>
    </row>
    <row r="18" ht="24.0" customHeight="1">
      <c r="B18" s="9" t="s">
        <v>15</v>
      </c>
      <c r="C18" s="2"/>
    </row>
    <row r="19" ht="30.0" customHeight="1">
      <c r="B19" s="13" t="s">
        <v>16</v>
      </c>
      <c r="C19" s="2"/>
    </row>
    <row r="20" ht="30.0" customHeight="1">
      <c r="B20" s="13" t="s">
        <v>17</v>
      </c>
      <c r="C20" s="2"/>
    </row>
    <row r="21" ht="30.0" customHeight="1">
      <c r="B21" s="13" t="s">
        <v>18</v>
      </c>
      <c r="C21" s="2"/>
    </row>
    <row r="22" ht="30.0" customHeight="1">
      <c r="B22" s="13" t="s">
        <v>19</v>
      </c>
      <c r="C22" s="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1:C21"/>
    <mergeCell ref="B22:C22"/>
    <mergeCell ref="B2:C2"/>
    <mergeCell ref="B3:C5"/>
    <mergeCell ref="B7:C7"/>
    <mergeCell ref="B13:C13"/>
    <mergeCell ref="B18:C18"/>
    <mergeCell ref="B19:C19"/>
    <mergeCell ref="B20:C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0"/>
    <col customWidth="1" min="2" max="2" width="14.0"/>
    <col customWidth="1" min="3" max="3" width="12.0"/>
    <col customWidth="1" min="4" max="9" width="14.0"/>
    <col customWidth="1" min="10" max="26" width="8.71"/>
  </cols>
  <sheetData>
    <row r="2" ht="31.5" customHeight="1">
      <c r="B2" s="1" t="s">
        <v>20</v>
      </c>
      <c r="C2" s="14"/>
      <c r="D2" s="14"/>
      <c r="E2" s="14"/>
      <c r="F2" s="14"/>
      <c r="G2" s="14"/>
      <c r="H2" s="14"/>
      <c r="I2" s="2"/>
    </row>
    <row r="3" ht="15.75" customHeight="1">
      <c r="B3" s="3" t="s">
        <v>21</v>
      </c>
      <c r="C3" s="15"/>
      <c r="D3" s="15"/>
      <c r="E3" s="15"/>
      <c r="F3" s="15"/>
      <c r="G3" s="15"/>
      <c r="H3" s="15"/>
      <c r="I3" s="4"/>
    </row>
    <row r="4" ht="15.75" customHeight="1">
      <c r="B4" s="5"/>
      <c r="I4" s="6"/>
    </row>
    <row r="5" ht="15.75" customHeight="1">
      <c r="B5" s="7"/>
      <c r="C5" s="16"/>
      <c r="D5" s="16"/>
      <c r="E5" s="16"/>
      <c r="F5" s="16"/>
      <c r="G5" s="16"/>
      <c r="H5" s="16"/>
      <c r="I5" s="8"/>
    </row>
    <row r="7" ht="24.0" customHeight="1">
      <c r="B7" s="9" t="s">
        <v>22</v>
      </c>
      <c r="C7" s="14"/>
      <c r="D7" s="14"/>
      <c r="E7" s="14"/>
      <c r="F7" s="14"/>
      <c r="G7" s="14"/>
      <c r="H7" s="14"/>
      <c r="I7" s="2"/>
    </row>
    <row r="8">
      <c r="B8" s="10" t="s">
        <v>23</v>
      </c>
      <c r="C8" s="10" t="s">
        <v>24</v>
      </c>
      <c r="D8" s="10" t="s">
        <v>25</v>
      </c>
    </row>
    <row r="9">
      <c r="B9" s="17" t="s">
        <v>26</v>
      </c>
      <c r="C9" s="18">
        <v>4.0</v>
      </c>
      <c r="D9" s="12" t="s">
        <v>27</v>
      </c>
    </row>
    <row r="10">
      <c r="B10" s="17" t="s">
        <v>28</v>
      </c>
      <c r="C10" s="18">
        <v>3.0</v>
      </c>
      <c r="D10" s="12" t="s">
        <v>29</v>
      </c>
    </row>
    <row r="11">
      <c r="B11" s="17" t="s">
        <v>30</v>
      </c>
      <c r="C11" s="18">
        <v>2.5</v>
      </c>
      <c r="D11" s="12" t="s">
        <v>31</v>
      </c>
    </row>
    <row r="12">
      <c r="B12" s="17" t="s">
        <v>32</v>
      </c>
      <c r="C12" s="18">
        <v>2.0</v>
      </c>
      <c r="D12" s="12" t="s">
        <v>33</v>
      </c>
    </row>
    <row r="13">
      <c r="B13" s="17" t="s">
        <v>34</v>
      </c>
      <c r="C13" s="18">
        <v>1.5</v>
      </c>
      <c r="D13" s="12" t="s">
        <v>35</v>
      </c>
    </row>
    <row r="14" ht="15.0" customHeight="1">
      <c r="B14" s="13" t="s">
        <v>36</v>
      </c>
      <c r="C14" s="14"/>
      <c r="D14" s="14"/>
      <c r="E14" s="14"/>
      <c r="F14" s="14"/>
      <c r="G14" s="14"/>
      <c r="H14" s="14"/>
      <c r="I14" s="2"/>
    </row>
    <row r="16" ht="24.0" customHeight="1">
      <c r="B16" s="9" t="s">
        <v>37</v>
      </c>
      <c r="C16" s="14"/>
      <c r="D16" s="14"/>
      <c r="E16" s="14"/>
      <c r="F16" s="14"/>
      <c r="G16" s="14"/>
      <c r="H16" s="14"/>
      <c r="I16" s="2"/>
    </row>
    <row r="17" ht="26.25" customHeight="1">
      <c r="B17" s="19" t="s">
        <v>38</v>
      </c>
      <c r="D17" s="20" t="s">
        <v>39</v>
      </c>
      <c r="E17" s="21"/>
      <c r="F17" s="20" t="s">
        <v>40</v>
      </c>
      <c r="G17" s="21"/>
      <c r="H17" s="20" t="s">
        <v>41</v>
      </c>
      <c r="I17" s="21"/>
    </row>
    <row r="18">
      <c r="B18" s="19" t="s">
        <v>42</v>
      </c>
      <c r="D18" s="22">
        <v>0.5</v>
      </c>
      <c r="E18" s="21"/>
      <c r="F18" s="22">
        <v>1.0</v>
      </c>
      <c r="G18" s="21"/>
      <c r="H18" s="22">
        <v>2.0</v>
      </c>
      <c r="I18" s="21"/>
    </row>
    <row r="20">
      <c r="B20" s="10" t="s">
        <v>23</v>
      </c>
      <c r="C20" s="10" t="s">
        <v>43</v>
      </c>
      <c r="D20" s="10" t="s">
        <v>44</v>
      </c>
      <c r="E20" s="10" t="s">
        <v>45</v>
      </c>
      <c r="F20" s="10" t="s">
        <v>44</v>
      </c>
      <c r="G20" s="10" t="s">
        <v>45</v>
      </c>
      <c r="H20" s="10" t="s">
        <v>44</v>
      </c>
      <c r="I20" s="10" t="s">
        <v>45</v>
      </c>
    </row>
    <row r="21" ht="15.75" customHeight="1">
      <c r="B21" s="17" t="s">
        <v>26</v>
      </c>
      <c r="C21" s="23">
        <f t="shared" ref="C21:C25" si="1">C9</f>
        <v>4</v>
      </c>
      <c r="D21" s="24">
        <f t="shared" ref="D21:D25" si="2">EXP(C9/$D$18)</f>
        <v>2980.957987</v>
      </c>
      <c r="E21" s="25">
        <f t="shared" ref="E21:E25" si="3">D21/$D$26</f>
        <v>0.8263261308</v>
      </c>
      <c r="F21" s="24">
        <f t="shared" ref="F21:F25" si="4">EXP(C9/$F$18)</f>
        <v>54.59815003</v>
      </c>
      <c r="G21" s="25">
        <f t="shared" ref="G21:G25" si="5">F21/$F$26</f>
        <v>0.552965868</v>
      </c>
      <c r="H21" s="24">
        <f t="shared" ref="H21:H25" si="6">EXP(C9/$H$18)</f>
        <v>7.389056099</v>
      </c>
      <c r="I21" s="25">
        <f t="shared" ref="I21:I25" si="7">H21/$H$26</f>
        <v>0.3658606031</v>
      </c>
    </row>
    <row r="22" ht="15.75" customHeight="1">
      <c r="B22" s="17" t="s">
        <v>28</v>
      </c>
      <c r="C22" s="23">
        <f t="shared" si="1"/>
        <v>3</v>
      </c>
      <c r="D22" s="24">
        <f t="shared" si="2"/>
        <v>403.4287935</v>
      </c>
      <c r="E22" s="25">
        <f t="shared" si="3"/>
        <v>0.111831081</v>
      </c>
      <c r="F22" s="24">
        <f t="shared" si="4"/>
        <v>20.08553692</v>
      </c>
      <c r="G22" s="25">
        <f t="shared" si="5"/>
        <v>0.2034247745</v>
      </c>
      <c r="H22" s="24">
        <f t="shared" si="6"/>
        <v>4.48168907</v>
      </c>
      <c r="I22" s="25">
        <f t="shared" si="7"/>
        <v>0.221905673</v>
      </c>
    </row>
    <row r="23" ht="15.75" customHeight="1">
      <c r="B23" s="17" t="s">
        <v>30</v>
      </c>
      <c r="C23" s="23">
        <f t="shared" si="1"/>
        <v>2.5</v>
      </c>
      <c r="D23" s="24">
        <f t="shared" si="2"/>
        <v>148.4131591</v>
      </c>
      <c r="E23" s="25">
        <f t="shared" si="3"/>
        <v>0.04114035557</v>
      </c>
      <c r="F23" s="24">
        <f t="shared" si="4"/>
        <v>12.18249396</v>
      </c>
      <c r="G23" s="25">
        <f t="shared" si="5"/>
        <v>0.1233833627</v>
      </c>
      <c r="H23" s="24">
        <f t="shared" si="6"/>
        <v>3.490342957</v>
      </c>
      <c r="I23" s="25">
        <f t="shared" si="7"/>
        <v>0.1728203119</v>
      </c>
    </row>
    <row r="24" ht="15.75" customHeight="1">
      <c r="B24" s="17" t="s">
        <v>32</v>
      </c>
      <c r="C24" s="23">
        <f t="shared" si="1"/>
        <v>2</v>
      </c>
      <c r="D24" s="24">
        <f t="shared" si="2"/>
        <v>54.59815003</v>
      </c>
      <c r="E24" s="25">
        <f t="shared" si="3"/>
        <v>0.01513469102</v>
      </c>
      <c r="F24" s="24">
        <f t="shared" si="4"/>
        <v>7.389056099</v>
      </c>
      <c r="G24" s="25">
        <f t="shared" si="5"/>
        <v>0.07483579236</v>
      </c>
      <c r="H24" s="24">
        <f t="shared" si="6"/>
        <v>2.718281828</v>
      </c>
      <c r="I24" s="25">
        <f t="shared" si="7"/>
        <v>0.1345925942</v>
      </c>
    </row>
    <row r="25" ht="15.75" customHeight="1">
      <c r="B25" s="17" t="s">
        <v>34</v>
      </c>
      <c r="C25" s="23">
        <f t="shared" si="1"/>
        <v>1.5</v>
      </c>
      <c r="D25" s="24">
        <f t="shared" si="2"/>
        <v>20.08553692</v>
      </c>
      <c r="E25" s="25">
        <f t="shared" si="3"/>
        <v>0.005567741673</v>
      </c>
      <c r="F25" s="24">
        <f t="shared" si="4"/>
        <v>4.48168907</v>
      </c>
      <c r="G25" s="25">
        <f t="shared" si="5"/>
        <v>0.04539020251</v>
      </c>
      <c r="H25" s="24">
        <f t="shared" si="6"/>
        <v>2.117000017</v>
      </c>
      <c r="I25" s="25">
        <f t="shared" si="7"/>
        <v>0.1048208178</v>
      </c>
    </row>
    <row r="26" ht="15.75" customHeight="1">
      <c r="B26" s="26" t="s">
        <v>46</v>
      </c>
      <c r="C26" s="27"/>
      <c r="D26" s="28">
        <f t="shared" ref="D26:I26" si="8">SUM(D21:D25)</f>
        <v>3607.483627</v>
      </c>
      <c r="E26" s="29">
        <f t="shared" si="8"/>
        <v>1</v>
      </c>
      <c r="F26" s="28">
        <f t="shared" si="8"/>
        <v>98.73692609</v>
      </c>
      <c r="G26" s="29">
        <f t="shared" si="8"/>
        <v>1</v>
      </c>
      <c r="H26" s="28">
        <f t="shared" si="8"/>
        <v>20.19636997</v>
      </c>
      <c r="I26" s="29">
        <f t="shared" si="8"/>
        <v>1</v>
      </c>
    </row>
    <row r="27" ht="15.75" customHeight="1"/>
    <row r="28" ht="24.0" customHeight="1">
      <c r="B28" s="9" t="s">
        <v>47</v>
      </c>
      <c r="C28" s="14"/>
      <c r="D28" s="14"/>
      <c r="E28" s="14"/>
      <c r="F28" s="14"/>
      <c r="G28" s="14"/>
      <c r="H28" s="14"/>
      <c r="I28" s="2"/>
    </row>
    <row r="29" ht="15.0" customHeight="1">
      <c r="B29" s="13" t="s">
        <v>48</v>
      </c>
      <c r="C29" s="14"/>
      <c r="D29" s="14"/>
      <c r="E29" s="14"/>
      <c r="F29" s="14"/>
      <c r="G29" s="14"/>
      <c r="H29" s="14"/>
      <c r="I29" s="2"/>
    </row>
    <row r="30" ht="15.0" customHeight="1">
      <c r="B30" s="13" t="s">
        <v>49</v>
      </c>
      <c r="C30" s="14"/>
      <c r="D30" s="14"/>
      <c r="E30" s="14"/>
      <c r="F30" s="14"/>
      <c r="G30" s="14"/>
      <c r="H30" s="14"/>
      <c r="I30" s="2"/>
    </row>
    <row r="31" ht="15.0" customHeight="1">
      <c r="B31" s="13" t="s">
        <v>50</v>
      </c>
      <c r="C31" s="14"/>
      <c r="D31" s="14"/>
      <c r="E31" s="14"/>
      <c r="F31" s="14"/>
      <c r="G31" s="14"/>
      <c r="H31" s="14"/>
      <c r="I31" s="2"/>
    </row>
    <row r="32" ht="15.0" customHeight="1">
      <c r="B32" s="13" t="s">
        <v>51</v>
      </c>
      <c r="C32" s="14"/>
      <c r="D32" s="14"/>
      <c r="E32" s="14"/>
      <c r="F32" s="14"/>
      <c r="G32" s="14"/>
      <c r="H32" s="14"/>
      <c r="I32" s="2"/>
    </row>
    <row r="33" ht="15.0" customHeight="1">
      <c r="B33" s="13" t="s">
        <v>52</v>
      </c>
      <c r="C33" s="14"/>
      <c r="D33" s="14"/>
      <c r="E33" s="14"/>
      <c r="F33" s="14"/>
      <c r="G33" s="14"/>
      <c r="H33" s="14"/>
      <c r="I33" s="2"/>
    </row>
    <row r="34" ht="15.0" customHeight="1">
      <c r="B34" s="13" t="s">
        <v>53</v>
      </c>
      <c r="C34" s="14"/>
      <c r="D34" s="14"/>
      <c r="E34" s="14"/>
      <c r="F34" s="14"/>
      <c r="G34" s="14"/>
      <c r="H34" s="14"/>
      <c r="I34" s="2"/>
    </row>
    <row r="35" ht="15.75" customHeight="1"/>
    <row r="36" ht="24.0" customHeight="1">
      <c r="B36" s="9" t="s">
        <v>54</v>
      </c>
      <c r="C36" s="14"/>
      <c r="D36" s="14"/>
      <c r="E36" s="14"/>
      <c r="F36" s="14"/>
      <c r="G36" s="14"/>
      <c r="H36" s="14"/>
      <c r="I36" s="2"/>
    </row>
    <row r="37" ht="21.75" customHeight="1">
      <c r="B37" s="13" t="s">
        <v>55</v>
      </c>
      <c r="C37" s="14"/>
      <c r="D37" s="14"/>
      <c r="E37" s="14"/>
      <c r="F37" s="14"/>
      <c r="G37" s="14"/>
      <c r="H37" s="14"/>
      <c r="I37" s="2"/>
    </row>
    <row r="38" ht="21.75" customHeight="1">
      <c r="B38" s="13" t="s">
        <v>56</v>
      </c>
      <c r="C38" s="14"/>
      <c r="D38" s="14"/>
      <c r="E38" s="14"/>
      <c r="F38" s="14"/>
      <c r="G38" s="14"/>
      <c r="H38" s="14"/>
      <c r="I38" s="2"/>
    </row>
    <row r="39" ht="21.75" customHeight="1">
      <c r="B39" s="13" t="s">
        <v>57</v>
      </c>
      <c r="C39" s="14"/>
      <c r="D39" s="14"/>
      <c r="E39" s="14"/>
      <c r="F39" s="14"/>
      <c r="G39" s="14"/>
      <c r="H39" s="14"/>
      <c r="I39" s="2"/>
    </row>
    <row r="40" ht="21.75" customHeight="1">
      <c r="B40" s="13" t="s">
        <v>58</v>
      </c>
      <c r="C40" s="14"/>
      <c r="D40" s="14"/>
      <c r="E40" s="14"/>
      <c r="F40" s="14"/>
      <c r="G40" s="14"/>
      <c r="H40" s="14"/>
      <c r="I40" s="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:I2"/>
    <mergeCell ref="B3:I5"/>
    <mergeCell ref="B7:I7"/>
    <mergeCell ref="B14:I14"/>
    <mergeCell ref="B16:I16"/>
    <mergeCell ref="F17:G17"/>
    <mergeCell ref="H17:I17"/>
    <mergeCell ref="D17:E17"/>
    <mergeCell ref="D18:E18"/>
    <mergeCell ref="F18:G18"/>
    <mergeCell ref="H18:I18"/>
    <mergeCell ref="B28:I28"/>
    <mergeCell ref="B29:I29"/>
    <mergeCell ref="B30:I30"/>
    <mergeCell ref="B39:I39"/>
    <mergeCell ref="B40:I40"/>
    <mergeCell ref="B31:I31"/>
    <mergeCell ref="B32:I32"/>
    <mergeCell ref="B33:I33"/>
    <mergeCell ref="B34:I34"/>
    <mergeCell ref="B36:I36"/>
    <mergeCell ref="B37:I37"/>
    <mergeCell ref="B38:I3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0"/>
    <col customWidth="1" min="2" max="6" width="12.0"/>
    <col customWidth="1" min="7" max="7" width="14.0"/>
    <col customWidth="1" min="8" max="9" width="12.0"/>
    <col customWidth="1" min="10" max="10" width="14.0"/>
    <col customWidth="1" min="11" max="12" width="12.0"/>
    <col customWidth="1" min="13" max="13" width="14.0"/>
    <col customWidth="1" min="14" max="26" width="8.71"/>
  </cols>
  <sheetData>
    <row r="2" ht="31.5" customHeight="1">
      <c r="B2" s="1" t="s">
        <v>59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2"/>
    </row>
    <row r="3" ht="15.75" customHeight="1">
      <c r="B3" s="3" t="s">
        <v>60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4"/>
    </row>
    <row r="4" ht="15.75" customHeight="1">
      <c r="B4" s="5"/>
      <c r="M4" s="6"/>
    </row>
    <row r="5" ht="15.75" customHeight="1">
      <c r="B5" s="7"/>
      <c r="C5" s="16"/>
      <c r="D5" s="16"/>
      <c r="E5" s="16"/>
      <c r="F5" s="16"/>
      <c r="G5" s="16"/>
      <c r="H5" s="16"/>
      <c r="I5" s="16"/>
      <c r="J5" s="16"/>
      <c r="K5" s="16"/>
      <c r="L5" s="16"/>
      <c r="M5" s="8"/>
    </row>
    <row r="7" ht="24.0" customHeight="1">
      <c r="B7" s="9" t="s">
        <v>61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2"/>
    </row>
    <row r="8" ht="15.0" customHeight="1">
      <c r="B8" s="10" t="s">
        <v>62</v>
      </c>
      <c r="C8" s="10" t="s">
        <v>23</v>
      </c>
      <c r="D8" s="10" t="s">
        <v>45</v>
      </c>
      <c r="E8" s="10" t="s">
        <v>63</v>
      </c>
      <c r="F8" s="20" t="s">
        <v>25</v>
      </c>
      <c r="G8" s="21"/>
    </row>
    <row r="9" ht="15.0" customHeight="1">
      <c r="B9" s="17">
        <v>1.0</v>
      </c>
      <c r="C9" s="17" t="s">
        <v>26</v>
      </c>
      <c r="D9" s="30">
        <v>0.4</v>
      </c>
      <c r="E9" s="25">
        <f>D9</f>
        <v>0.4</v>
      </c>
      <c r="F9" s="31" t="s">
        <v>64</v>
      </c>
      <c r="G9" s="21"/>
    </row>
    <row r="10" ht="15.0" customHeight="1">
      <c r="B10" s="17">
        <v>2.0</v>
      </c>
      <c r="C10" s="17" t="s">
        <v>28</v>
      </c>
      <c r="D10" s="30">
        <v>0.25</v>
      </c>
      <c r="E10" s="25">
        <f t="shared" ref="E10:E16" si="1">E9+D10</f>
        <v>0.65</v>
      </c>
      <c r="F10" s="31" t="s">
        <v>65</v>
      </c>
      <c r="G10" s="21"/>
    </row>
    <row r="11" ht="15.0" customHeight="1">
      <c r="B11" s="17">
        <v>3.0</v>
      </c>
      <c r="C11" s="17" t="s">
        <v>30</v>
      </c>
      <c r="D11" s="30">
        <v>0.15</v>
      </c>
      <c r="E11" s="25">
        <f t="shared" si="1"/>
        <v>0.8</v>
      </c>
      <c r="F11" s="31" t="s">
        <v>66</v>
      </c>
      <c r="G11" s="21"/>
    </row>
    <row r="12" ht="15.0" customHeight="1">
      <c r="B12" s="17">
        <v>4.0</v>
      </c>
      <c r="C12" s="17" t="s">
        <v>32</v>
      </c>
      <c r="D12" s="30">
        <v>0.1</v>
      </c>
      <c r="E12" s="25">
        <f t="shared" si="1"/>
        <v>0.9</v>
      </c>
      <c r="F12" s="31" t="s">
        <v>66</v>
      </c>
      <c r="G12" s="21"/>
    </row>
    <row r="13" ht="15.0" customHeight="1">
      <c r="B13" s="17">
        <v>5.0</v>
      </c>
      <c r="C13" s="17" t="s">
        <v>34</v>
      </c>
      <c r="D13" s="30">
        <v>0.05</v>
      </c>
      <c r="E13" s="25">
        <f t="shared" si="1"/>
        <v>0.95</v>
      </c>
      <c r="F13" s="31" t="s">
        <v>67</v>
      </c>
      <c r="G13" s="21"/>
    </row>
    <row r="14" ht="15.0" customHeight="1">
      <c r="B14" s="17">
        <v>6.0</v>
      </c>
      <c r="C14" s="17" t="s">
        <v>68</v>
      </c>
      <c r="D14" s="30">
        <v>0.03</v>
      </c>
      <c r="E14" s="25">
        <f t="shared" si="1"/>
        <v>0.98</v>
      </c>
      <c r="F14" s="31" t="s">
        <v>69</v>
      </c>
      <c r="G14" s="21"/>
    </row>
    <row r="15" ht="15.0" customHeight="1">
      <c r="B15" s="17">
        <v>7.0</v>
      </c>
      <c r="C15" s="17" t="s">
        <v>70</v>
      </c>
      <c r="D15" s="30">
        <v>0.015</v>
      </c>
      <c r="E15" s="25">
        <f t="shared" si="1"/>
        <v>0.995</v>
      </c>
      <c r="F15" s="31" t="s">
        <v>71</v>
      </c>
      <c r="G15" s="21"/>
    </row>
    <row r="16" ht="15.0" customHeight="1">
      <c r="B16" s="17">
        <v>8.0</v>
      </c>
      <c r="C16" s="17" t="s">
        <v>72</v>
      </c>
      <c r="D16" s="30">
        <v>0.005</v>
      </c>
      <c r="E16" s="25">
        <f t="shared" si="1"/>
        <v>1</v>
      </c>
      <c r="F16" s="31" t="s">
        <v>73</v>
      </c>
      <c r="G16" s="21"/>
    </row>
    <row r="17" ht="15.0" customHeight="1">
      <c r="B17" s="26" t="s">
        <v>74</v>
      </c>
      <c r="C17" s="27"/>
      <c r="D17" s="29">
        <f>SUM(D9:D16)</f>
        <v>1</v>
      </c>
      <c r="E17" s="27"/>
      <c r="F17" s="32" t="s">
        <v>75</v>
      </c>
      <c r="G17" s="21"/>
    </row>
    <row r="18" ht="27.75" customHeight="1">
      <c r="B18" s="13" t="s">
        <v>76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2"/>
    </row>
    <row r="20" ht="24.0" customHeight="1">
      <c r="B20" s="9" t="s">
        <v>77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2"/>
    </row>
    <row r="21" ht="15.75" customHeight="1">
      <c r="B21" s="19" t="s">
        <v>78</v>
      </c>
    </row>
    <row r="22" ht="15.0" customHeight="1">
      <c r="B22" s="20" t="s">
        <v>79</v>
      </c>
      <c r="C22" s="33"/>
      <c r="D22" s="33"/>
      <c r="E22" s="21"/>
      <c r="F22" s="20" t="s">
        <v>80</v>
      </c>
      <c r="G22" s="33"/>
      <c r="H22" s="33"/>
      <c r="I22" s="21"/>
      <c r="J22" s="20" t="s">
        <v>81</v>
      </c>
      <c r="K22" s="33"/>
      <c r="L22" s="33"/>
      <c r="M22" s="21"/>
    </row>
    <row r="23" ht="15.75" customHeight="1">
      <c r="B23" s="12" t="s">
        <v>82</v>
      </c>
      <c r="C23" s="34">
        <v>1.0</v>
      </c>
      <c r="D23" s="31"/>
      <c r="E23" s="21"/>
      <c r="F23" s="12" t="s">
        <v>82</v>
      </c>
      <c r="G23" s="34">
        <v>3.0</v>
      </c>
      <c r="H23" s="31"/>
      <c r="I23" s="21"/>
      <c r="J23" s="12" t="s">
        <v>82</v>
      </c>
      <c r="K23" s="34">
        <v>5.0</v>
      </c>
      <c r="L23" s="31"/>
      <c r="M23" s="21"/>
    </row>
    <row r="24" ht="15.75" customHeight="1">
      <c r="B24" s="10" t="s">
        <v>23</v>
      </c>
      <c r="C24" s="10" t="s">
        <v>83</v>
      </c>
      <c r="D24" s="10" t="s">
        <v>84</v>
      </c>
      <c r="E24" s="10" t="s">
        <v>85</v>
      </c>
      <c r="F24" s="10" t="s">
        <v>23</v>
      </c>
      <c r="G24" s="10" t="s">
        <v>83</v>
      </c>
      <c r="H24" s="10" t="s">
        <v>84</v>
      </c>
      <c r="I24" s="10" t="s">
        <v>85</v>
      </c>
      <c r="J24" s="10" t="s">
        <v>23</v>
      </c>
      <c r="K24" s="10" t="s">
        <v>83</v>
      </c>
      <c r="L24" s="10" t="s">
        <v>84</v>
      </c>
      <c r="M24" s="10" t="s">
        <v>85</v>
      </c>
    </row>
    <row r="25" ht="15.75" customHeight="1">
      <c r="B25" s="35" t="str">
        <f t="shared" ref="B25:C25" si="2">C9</f>
        <v>mat</v>
      </c>
      <c r="C25" s="25">
        <f t="shared" si="2"/>
        <v>0.4</v>
      </c>
      <c r="D25" s="35" t="str">
        <f t="shared" ref="D25:D32" si="6">IF(B9&lt;=$C$23,"Yes","No")</f>
        <v>Yes</v>
      </c>
      <c r="E25" s="25">
        <f t="shared" ref="E25:E32" si="7">IF(B9&lt;=$C$23,D9/SUMIFS($D$9:$D$16,$B$9:$B$16,"&lt;="&amp;$C$23),0)</f>
        <v>1</v>
      </c>
      <c r="F25" s="35" t="str">
        <f t="shared" ref="F25:G25" si="3">C9</f>
        <v>mat</v>
      </c>
      <c r="G25" s="25">
        <f t="shared" si="3"/>
        <v>0.4</v>
      </c>
      <c r="H25" s="35" t="str">
        <f t="shared" ref="H25:H32" si="9">IF(B9&lt;=$G$23,"Yes","No")</f>
        <v>Yes</v>
      </c>
      <c r="I25" s="25">
        <f t="shared" ref="I25:I32" si="10">IF(B9&lt;=$G$23,D9/SUMIFS($D$9:$D$16,$B$9:$B$16,"&lt;="&amp;$G$23),0)</f>
        <v>0.5</v>
      </c>
      <c r="J25" s="35" t="str">
        <f t="shared" ref="J25:K25" si="4">C9</f>
        <v>mat</v>
      </c>
      <c r="K25" s="25">
        <f t="shared" si="4"/>
        <v>0.4</v>
      </c>
      <c r="L25" s="35" t="str">
        <f t="shared" ref="L25:L32" si="12">IF(B9&lt;=$K$23,"Yes","No")</f>
        <v>Yes</v>
      </c>
      <c r="M25" s="25">
        <f t="shared" ref="M25:M32" si="13">IF(B9&lt;=$K$23,D9/SUMIFS($D$9:$D$16,$B$9:$B$16,"&lt;="&amp;$K$23),0)</f>
        <v>0.4210526316</v>
      </c>
    </row>
    <row r="26" ht="15.75" customHeight="1">
      <c r="B26" s="35" t="str">
        <f t="shared" ref="B26:C26" si="5">C10</f>
        <v>chair</v>
      </c>
      <c r="C26" s="25">
        <f t="shared" si="5"/>
        <v>0.25</v>
      </c>
      <c r="D26" s="35" t="str">
        <f t="shared" si="6"/>
        <v>No</v>
      </c>
      <c r="E26" s="25">
        <f t="shared" si="7"/>
        <v>0</v>
      </c>
      <c r="F26" s="35" t="str">
        <f t="shared" ref="F26:G26" si="8">C10</f>
        <v>chair</v>
      </c>
      <c r="G26" s="25">
        <f t="shared" si="8"/>
        <v>0.25</v>
      </c>
      <c r="H26" s="35" t="str">
        <f t="shared" si="9"/>
        <v>Yes</v>
      </c>
      <c r="I26" s="25">
        <f t="shared" si="10"/>
        <v>0.3125</v>
      </c>
      <c r="J26" s="35" t="str">
        <f t="shared" ref="J26:K26" si="11">C10</f>
        <v>chair</v>
      </c>
      <c r="K26" s="25">
        <f t="shared" si="11"/>
        <v>0.25</v>
      </c>
      <c r="L26" s="35" t="str">
        <f t="shared" si="12"/>
        <v>Yes</v>
      </c>
      <c r="M26" s="25">
        <f t="shared" si="13"/>
        <v>0.2631578947</v>
      </c>
    </row>
    <row r="27" ht="15.75" customHeight="1">
      <c r="B27" s="35" t="str">
        <f t="shared" ref="B27:C27" si="14">C11</f>
        <v>floor</v>
      </c>
      <c r="C27" s="25">
        <f t="shared" si="14"/>
        <v>0.15</v>
      </c>
      <c r="D27" s="35" t="str">
        <f t="shared" si="6"/>
        <v>No</v>
      </c>
      <c r="E27" s="25">
        <f t="shared" si="7"/>
        <v>0</v>
      </c>
      <c r="F27" s="35" t="str">
        <f t="shared" ref="F27:G27" si="15">C11</f>
        <v>floor</v>
      </c>
      <c r="G27" s="25">
        <f t="shared" si="15"/>
        <v>0.15</v>
      </c>
      <c r="H27" s="35" t="str">
        <f t="shared" si="9"/>
        <v>Yes</v>
      </c>
      <c r="I27" s="25">
        <f t="shared" si="10"/>
        <v>0.1875</v>
      </c>
      <c r="J27" s="35" t="str">
        <f t="shared" ref="J27:K27" si="16">C11</f>
        <v>floor</v>
      </c>
      <c r="K27" s="25">
        <f t="shared" si="16"/>
        <v>0.15</v>
      </c>
      <c r="L27" s="35" t="str">
        <f t="shared" si="12"/>
        <v>Yes</v>
      </c>
      <c r="M27" s="25">
        <f t="shared" si="13"/>
        <v>0.1578947368</v>
      </c>
    </row>
    <row r="28" ht="15.75" customHeight="1">
      <c r="B28" s="35" t="str">
        <f t="shared" ref="B28:C28" si="17">C12</f>
        <v>sofa</v>
      </c>
      <c r="C28" s="25">
        <f t="shared" si="17"/>
        <v>0.1</v>
      </c>
      <c r="D28" s="35" t="str">
        <f t="shared" si="6"/>
        <v>No</v>
      </c>
      <c r="E28" s="25">
        <f t="shared" si="7"/>
        <v>0</v>
      </c>
      <c r="F28" s="35" t="str">
        <f t="shared" ref="F28:G28" si="18">C12</f>
        <v>sofa</v>
      </c>
      <c r="G28" s="25">
        <f t="shared" si="18"/>
        <v>0.1</v>
      </c>
      <c r="H28" s="35" t="str">
        <f t="shared" si="9"/>
        <v>No</v>
      </c>
      <c r="I28" s="25">
        <f t="shared" si="10"/>
        <v>0</v>
      </c>
      <c r="J28" s="35" t="str">
        <f t="shared" ref="J28:K28" si="19">C12</f>
        <v>sofa</v>
      </c>
      <c r="K28" s="25">
        <f t="shared" si="19"/>
        <v>0.1</v>
      </c>
      <c r="L28" s="35" t="str">
        <f t="shared" si="12"/>
        <v>Yes</v>
      </c>
      <c r="M28" s="25">
        <f t="shared" si="13"/>
        <v>0.1052631579</v>
      </c>
    </row>
    <row r="29" ht="15.75" customHeight="1">
      <c r="B29" s="35" t="str">
        <f t="shared" ref="B29:C29" si="20">C13</f>
        <v>table</v>
      </c>
      <c r="C29" s="25">
        <f t="shared" si="20"/>
        <v>0.05</v>
      </c>
      <c r="D29" s="35" t="str">
        <f t="shared" si="6"/>
        <v>No</v>
      </c>
      <c r="E29" s="25">
        <f t="shared" si="7"/>
        <v>0</v>
      </c>
      <c r="F29" s="35" t="str">
        <f t="shared" ref="F29:G29" si="21">C13</f>
        <v>table</v>
      </c>
      <c r="G29" s="25">
        <f t="shared" si="21"/>
        <v>0.05</v>
      </c>
      <c r="H29" s="35" t="str">
        <f t="shared" si="9"/>
        <v>No</v>
      </c>
      <c r="I29" s="25">
        <f t="shared" si="10"/>
        <v>0</v>
      </c>
      <c r="J29" s="35" t="str">
        <f t="shared" ref="J29:K29" si="22">C13</f>
        <v>table</v>
      </c>
      <c r="K29" s="25">
        <f t="shared" si="22"/>
        <v>0.05</v>
      </c>
      <c r="L29" s="35" t="str">
        <f t="shared" si="12"/>
        <v>Yes</v>
      </c>
      <c r="M29" s="25">
        <f t="shared" si="13"/>
        <v>0.05263157895</v>
      </c>
    </row>
    <row r="30" ht="15.75" customHeight="1">
      <c r="B30" s="35" t="str">
        <f t="shared" ref="B30:C30" si="23">C14</f>
        <v>roof</v>
      </c>
      <c r="C30" s="25">
        <f t="shared" si="23"/>
        <v>0.03</v>
      </c>
      <c r="D30" s="35" t="str">
        <f t="shared" si="6"/>
        <v>No</v>
      </c>
      <c r="E30" s="25">
        <f t="shared" si="7"/>
        <v>0</v>
      </c>
      <c r="F30" s="35" t="str">
        <f t="shared" ref="F30:G30" si="24">C14</f>
        <v>roof</v>
      </c>
      <c r="G30" s="25">
        <f t="shared" si="24"/>
        <v>0.03</v>
      </c>
      <c r="H30" s="35" t="str">
        <f t="shared" si="9"/>
        <v>No</v>
      </c>
      <c r="I30" s="25">
        <f t="shared" si="10"/>
        <v>0</v>
      </c>
      <c r="J30" s="35" t="str">
        <f t="shared" ref="J30:K30" si="25">C14</f>
        <v>roof</v>
      </c>
      <c r="K30" s="25">
        <f t="shared" si="25"/>
        <v>0.03</v>
      </c>
      <c r="L30" s="35" t="str">
        <f t="shared" si="12"/>
        <v>No</v>
      </c>
      <c r="M30" s="25">
        <f t="shared" si="13"/>
        <v>0</v>
      </c>
    </row>
    <row r="31" ht="15.75" customHeight="1">
      <c r="B31" s="35" t="str">
        <f t="shared" ref="B31:C31" si="26">C15</f>
        <v>moon</v>
      </c>
      <c r="C31" s="25">
        <f t="shared" si="26"/>
        <v>0.015</v>
      </c>
      <c r="D31" s="35" t="str">
        <f t="shared" si="6"/>
        <v>No</v>
      </c>
      <c r="E31" s="25">
        <f t="shared" si="7"/>
        <v>0</v>
      </c>
      <c r="F31" s="35" t="str">
        <f t="shared" ref="F31:G31" si="27">C15</f>
        <v>moon</v>
      </c>
      <c r="G31" s="25">
        <f t="shared" si="27"/>
        <v>0.015</v>
      </c>
      <c r="H31" s="35" t="str">
        <f t="shared" si="9"/>
        <v>No</v>
      </c>
      <c r="I31" s="25">
        <f t="shared" si="10"/>
        <v>0</v>
      </c>
      <c r="J31" s="35" t="str">
        <f t="shared" ref="J31:K31" si="28">C15</f>
        <v>moon</v>
      </c>
      <c r="K31" s="25">
        <f t="shared" si="28"/>
        <v>0.015</v>
      </c>
      <c r="L31" s="35" t="str">
        <f t="shared" si="12"/>
        <v>No</v>
      </c>
      <c r="M31" s="25">
        <f t="shared" si="13"/>
        <v>0</v>
      </c>
    </row>
    <row r="32" ht="15.75" customHeight="1">
      <c r="B32" s="35" t="str">
        <f t="shared" ref="B32:C32" si="29">C16</f>
        <v>pizza</v>
      </c>
      <c r="C32" s="25">
        <f t="shared" si="29"/>
        <v>0.005</v>
      </c>
      <c r="D32" s="35" t="str">
        <f t="shared" si="6"/>
        <v>No</v>
      </c>
      <c r="E32" s="25">
        <f t="shared" si="7"/>
        <v>0</v>
      </c>
      <c r="F32" s="35" t="str">
        <f t="shared" ref="F32:G32" si="30">C16</f>
        <v>pizza</v>
      </c>
      <c r="G32" s="25">
        <f t="shared" si="30"/>
        <v>0.005</v>
      </c>
      <c r="H32" s="35" t="str">
        <f t="shared" si="9"/>
        <v>No</v>
      </c>
      <c r="I32" s="25">
        <f t="shared" si="10"/>
        <v>0</v>
      </c>
      <c r="J32" s="35" t="str">
        <f t="shared" ref="J32:K32" si="31">C16</f>
        <v>pizza</v>
      </c>
      <c r="K32" s="25">
        <f t="shared" si="31"/>
        <v>0.005</v>
      </c>
      <c r="L32" s="35" t="str">
        <f t="shared" si="12"/>
        <v>No</v>
      </c>
      <c r="M32" s="25">
        <f t="shared" si="13"/>
        <v>0</v>
      </c>
    </row>
    <row r="33" ht="15.75" customHeight="1">
      <c r="B33" s="26" t="s">
        <v>46</v>
      </c>
      <c r="C33" s="27"/>
      <c r="D33" s="27"/>
      <c r="E33" s="29">
        <f>SUM(E25:E32)</f>
        <v>1</v>
      </c>
      <c r="F33" s="26" t="s">
        <v>46</v>
      </c>
      <c r="G33" s="27"/>
      <c r="H33" s="27"/>
      <c r="I33" s="29">
        <f>SUM(I25:I32)</f>
        <v>1</v>
      </c>
      <c r="J33" s="26" t="s">
        <v>46</v>
      </c>
      <c r="K33" s="27"/>
      <c r="L33" s="27"/>
      <c r="M33" s="29">
        <f>SUM(M25:M32)</f>
        <v>1</v>
      </c>
    </row>
    <row r="34" ht="30.0" customHeight="1">
      <c r="B34" s="13" t="s">
        <v>86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2"/>
    </row>
    <row r="35" ht="15.75" customHeight="1"/>
    <row r="36" ht="24.0" customHeight="1">
      <c r="B36" s="9" t="s">
        <v>87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2"/>
    </row>
    <row r="37" ht="15.0" customHeight="1">
      <c r="B37" s="20" t="s">
        <v>88</v>
      </c>
      <c r="C37" s="33"/>
      <c r="D37" s="33"/>
      <c r="E37" s="21"/>
      <c r="F37" s="20" t="s">
        <v>89</v>
      </c>
      <c r="G37" s="33"/>
      <c r="H37" s="33"/>
      <c r="I37" s="21"/>
      <c r="J37" s="20" t="s">
        <v>90</v>
      </c>
      <c r="K37" s="33"/>
      <c r="L37" s="33"/>
      <c r="M37" s="21"/>
    </row>
    <row r="38" ht="15.75" customHeight="1">
      <c r="B38" s="12" t="s">
        <v>91</v>
      </c>
      <c r="C38" s="36">
        <v>0.5</v>
      </c>
      <c r="D38" s="31"/>
      <c r="E38" s="21"/>
      <c r="F38" s="12" t="s">
        <v>91</v>
      </c>
      <c r="G38" s="36">
        <v>0.8</v>
      </c>
      <c r="H38" s="31"/>
      <c r="I38" s="21"/>
      <c r="J38" s="12" t="s">
        <v>91</v>
      </c>
      <c r="K38" s="36">
        <v>0.9</v>
      </c>
      <c r="L38" s="31"/>
      <c r="M38" s="21"/>
    </row>
    <row r="39" ht="15.75" customHeight="1">
      <c r="B39" s="10" t="s">
        <v>23</v>
      </c>
      <c r="C39" s="10" t="s">
        <v>92</v>
      </c>
      <c r="D39" s="10" t="s">
        <v>84</v>
      </c>
      <c r="E39" s="10" t="s">
        <v>85</v>
      </c>
      <c r="F39" s="10" t="s">
        <v>23</v>
      </c>
      <c r="G39" s="10" t="s">
        <v>92</v>
      </c>
      <c r="H39" s="10" t="s">
        <v>84</v>
      </c>
      <c r="I39" s="10" t="s">
        <v>85</v>
      </c>
      <c r="J39" s="10" t="s">
        <v>23</v>
      </c>
      <c r="K39" s="10" t="s">
        <v>92</v>
      </c>
      <c r="L39" s="10" t="s">
        <v>84</v>
      </c>
      <c r="M39" s="10" t="s">
        <v>85</v>
      </c>
    </row>
    <row r="40" ht="15.75" customHeight="1">
      <c r="B40" s="35" t="str">
        <f t="shared" ref="B40:B47" si="32">C9</f>
        <v>mat</v>
      </c>
      <c r="C40" s="25">
        <f t="shared" ref="C40:C47" si="33">E9</f>
        <v>0.4</v>
      </c>
      <c r="D40" s="35" t="str">
        <f t="shared" ref="D40:D47" si="34">IF((E9-D9)&lt;$C$38,"Yes","No")</f>
        <v>Yes</v>
      </c>
      <c r="E40" s="25">
        <f t="shared" ref="E40:E47" si="35">IF((E9-D9)&lt;$C$38,D9/SUMPRODUCT(($E$9:$E$16-$D$9:$D$16&lt;$C$38)*$D$9:$D$16),0)</f>
        <v>0.6153846154</v>
      </c>
      <c r="F40" s="35" t="str">
        <f t="shared" ref="F40:F47" si="36">C9</f>
        <v>mat</v>
      </c>
      <c r="G40" s="25">
        <f t="shared" ref="G40:G47" si="37">E9</f>
        <v>0.4</v>
      </c>
      <c r="H40" s="35" t="str">
        <f t="shared" ref="H40:H47" si="38">IF((E9-D9)&lt;$G$38,"Yes","No")</f>
        <v>Yes</v>
      </c>
      <c r="I40" s="25">
        <f t="shared" ref="I40:I47" si="39">IF((E9-D9)&lt;$G$38,D9/SUMPRODUCT(($E$9:$E$16-$D$9:$D$16&lt;$G$38)*$D$9:$D$16),0)</f>
        <v>0.5</v>
      </c>
      <c r="J40" s="35" t="str">
        <f t="shared" ref="J40:J47" si="40">C9</f>
        <v>mat</v>
      </c>
      <c r="K40" s="25">
        <f t="shared" ref="K40:K47" si="41">E9</f>
        <v>0.4</v>
      </c>
      <c r="L40" s="35" t="str">
        <f t="shared" ref="L40:L47" si="42">IF((E9-D9)&lt;$K$38,"Yes","No")</f>
        <v>Yes</v>
      </c>
      <c r="M40" s="25">
        <f t="shared" ref="M40:M47" si="43">IF((E9-D9)&lt;$K$38,D9/SUMPRODUCT(($E$9:$E$16-$D$9:$D$16&lt;$K$38)*$D$9:$D$16),0)</f>
        <v>0.4444444444</v>
      </c>
    </row>
    <row r="41" ht="15.75" customHeight="1">
      <c r="B41" s="35" t="str">
        <f t="shared" si="32"/>
        <v>chair</v>
      </c>
      <c r="C41" s="25">
        <f t="shared" si="33"/>
        <v>0.65</v>
      </c>
      <c r="D41" s="35" t="str">
        <f t="shared" si="34"/>
        <v>Yes</v>
      </c>
      <c r="E41" s="25">
        <f t="shared" si="35"/>
        <v>0.3846153846</v>
      </c>
      <c r="F41" s="35" t="str">
        <f t="shared" si="36"/>
        <v>chair</v>
      </c>
      <c r="G41" s="25">
        <f t="shared" si="37"/>
        <v>0.65</v>
      </c>
      <c r="H41" s="35" t="str">
        <f t="shared" si="38"/>
        <v>Yes</v>
      </c>
      <c r="I41" s="25">
        <f t="shared" si="39"/>
        <v>0.3125</v>
      </c>
      <c r="J41" s="35" t="str">
        <f t="shared" si="40"/>
        <v>chair</v>
      </c>
      <c r="K41" s="25">
        <f t="shared" si="41"/>
        <v>0.65</v>
      </c>
      <c r="L41" s="35" t="str">
        <f t="shared" si="42"/>
        <v>Yes</v>
      </c>
      <c r="M41" s="25">
        <f t="shared" si="43"/>
        <v>0.2777777778</v>
      </c>
    </row>
    <row r="42" ht="15.75" customHeight="1">
      <c r="B42" s="35" t="str">
        <f t="shared" si="32"/>
        <v>floor</v>
      </c>
      <c r="C42" s="25">
        <f t="shared" si="33"/>
        <v>0.8</v>
      </c>
      <c r="D42" s="35" t="str">
        <f t="shared" si="34"/>
        <v>No</v>
      </c>
      <c r="E42" s="25">
        <f t="shared" si="35"/>
        <v>0</v>
      </c>
      <c r="F42" s="35" t="str">
        <f t="shared" si="36"/>
        <v>floor</v>
      </c>
      <c r="G42" s="25">
        <f t="shared" si="37"/>
        <v>0.8</v>
      </c>
      <c r="H42" s="35" t="str">
        <f t="shared" si="38"/>
        <v>Yes</v>
      </c>
      <c r="I42" s="25">
        <f t="shared" si="39"/>
        <v>0.1875</v>
      </c>
      <c r="J42" s="35" t="str">
        <f t="shared" si="40"/>
        <v>floor</v>
      </c>
      <c r="K42" s="25">
        <f t="shared" si="41"/>
        <v>0.8</v>
      </c>
      <c r="L42" s="35" t="str">
        <f t="shared" si="42"/>
        <v>Yes</v>
      </c>
      <c r="M42" s="25">
        <f t="shared" si="43"/>
        <v>0.1666666667</v>
      </c>
    </row>
    <row r="43" ht="15.75" customHeight="1">
      <c r="B43" s="35" t="str">
        <f t="shared" si="32"/>
        <v>sofa</v>
      </c>
      <c r="C43" s="25">
        <f t="shared" si="33"/>
        <v>0.9</v>
      </c>
      <c r="D43" s="35" t="str">
        <f t="shared" si="34"/>
        <v>No</v>
      </c>
      <c r="E43" s="25">
        <f t="shared" si="35"/>
        <v>0</v>
      </c>
      <c r="F43" s="35" t="str">
        <f t="shared" si="36"/>
        <v>sofa</v>
      </c>
      <c r="G43" s="25">
        <f t="shared" si="37"/>
        <v>0.9</v>
      </c>
      <c r="H43" s="35" t="str">
        <f t="shared" si="38"/>
        <v>No</v>
      </c>
      <c r="I43" s="25">
        <f t="shared" si="39"/>
        <v>0</v>
      </c>
      <c r="J43" s="35" t="str">
        <f t="shared" si="40"/>
        <v>sofa</v>
      </c>
      <c r="K43" s="25">
        <f t="shared" si="41"/>
        <v>0.9</v>
      </c>
      <c r="L43" s="35" t="str">
        <f t="shared" si="42"/>
        <v>Yes</v>
      </c>
      <c r="M43" s="25">
        <f t="shared" si="43"/>
        <v>0.1111111111</v>
      </c>
    </row>
    <row r="44" ht="15.75" customHeight="1">
      <c r="B44" s="35" t="str">
        <f t="shared" si="32"/>
        <v>table</v>
      </c>
      <c r="C44" s="25">
        <f t="shared" si="33"/>
        <v>0.95</v>
      </c>
      <c r="D44" s="35" t="str">
        <f t="shared" si="34"/>
        <v>No</v>
      </c>
      <c r="E44" s="25">
        <f t="shared" si="35"/>
        <v>0</v>
      </c>
      <c r="F44" s="35" t="str">
        <f t="shared" si="36"/>
        <v>table</v>
      </c>
      <c r="G44" s="25">
        <f t="shared" si="37"/>
        <v>0.95</v>
      </c>
      <c r="H44" s="35" t="str">
        <f t="shared" si="38"/>
        <v>No</v>
      </c>
      <c r="I44" s="25">
        <f t="shared" si="39"/>
        <v>0</v>
      </c>
      <c r="J44" s="35" t="str">
        <f t="shared" si="40"/>
        <v>table</v>
      </c>
      <c r="K44" s="25">
        <f t="shared" si="41"/>
        <v>0.95</v>
      </c>
      <c r="L44" s="35" t="str">
        <f t="shared" si="42"/>
        <v>No</v>
      </c>
      <c r="M44" s="25">
        <f t="shared" si="43"/>
        <v>0</v>
      </c>
    </row>
    <row r="45" ht="15.75" customHeight="1">
      <c r="B45" s="35" t="str">
        <f t="shared" si="32"/>
        <v>roof</v>
      </c>
      <c r="C45" s="25">
        <f t="shared" si="33"/>
        <v>0.98</v>
      </c>
      <c r="D45" s="35" t="str">
        <f t="shared" si="34"/>
        <v>No</v>
      </c>
      <c r="E45" s="25">
        <f t="shared" si="35"/>
        <v>0</v>
      </c>
      <c r="F45" s="35" t="str">
        <f t="shared" si="36"/>
        <v>roof</v>
      </c>
      <c r="G45" s="25">
        <f t="shared" si="37"/>
        <v>0.98</v>
      </c>
      <c r="H45" s="35" t="str">
        <f t="shared" si="38"/>
        <v>No</v>
      </c>
      <c r="I45" s="25">
        <f t="shared" si="39"/>
        <v>0</v>
      </c>
      <c r="J45" s="35" t="str">
        <f t="shared" si="40"/>
        <v>roof</v>
      </c>
      <c r="K45" s="25">
        <f t="shared" si="41"/>
        <v>0.98</v>
      </c>
      <c r="L45" s="35" t="str">
        <f t="shared" si="42"/>
        <v>No</v>
      </c>
      <c r="M45" s="25">
        <f t="shared" si="43"/>
        <v>0</v>
      </c>
    </row>
    <row r="46" ht="15.75" customHeight="1">
      <c r="B46" s="35" t="str">
        <f t="shared" si="32"/>
        <v>moon</v>
      </c>
      <c r="C46" s="25">
        <f t="shared" si="33"/>
        <v>0.995</v>
      </c>
      <c r="D46" s="35" t="str">
        <f t="shared" si="34"/>
        <v>No</v>
      </c>
      <c r="E46" s="25">
        <f t="shared" si="35"/>
        <v>0</v>
      </c>
      <c r="F46" s="35" t="str">
        <f t="shared" si="36"/>
        <v>moon</v>
      </c>
      <c r="G46" s="25">
        <f t="shared" si="37"/>
        <v>0.995</v>
      </c>
      <c r="H46" s="35" t="str">
        <f t="shared" si="38"/>
        <v>No</v>
      </c>
      <c r="I46" s="25">
        <f t="shared" si="39"/>
        <v>0</v>
      </c>
      <c r="J46" s="35" t="str">
        <f t="shared" si="40"/>
        <v>moon</v>
      </c>
      <c r="K46" s="25">
        <f t="shared" si="41"/>
        <v>0.995</v>
      </c>
      <c r="L46" s="35" t="str">
        <f t="shared" si="42"/>
        <v>No</v>
      </c>
      <c r="M46" s="25">
        <f t="shared" si="43"/>
        <v>0</v>
      </c>
    </row>
    <row r="47" ht="15.75" customHeight="1">
      <c r="B47" s="35" t="str">
        <f t="shared" si="32"/>
        <v>pizza</v>
      </c>
      <c r="C47" s="25">
        <f t="shared" si="33"/>
        <v>1</v>
      </c>
      <c r="D47" s="35" t="str">
        <f t="shared" si="34"/>
        <v>No</v>
      </c>
      <c r="E47" s="25">
        <f t="shared" si="35"/>
        <v>0</v>
      </c>
      <c r="F47" s="35" t="str">
        <f t="shared" si="36"/>
        <v>pizza</v>
      </c>
      <c r="G47" s="25">
        <f t="shared" si="37"/>
        <v>1</v>
      </c>
      <c r="H47" s="35" t="str">
        <f t="shared" si="38"/>
        <v>No</v>
      </c>
      <c r="I47" s="25">
        <f t="shared" si="39"/>
        <v>0</v>
      </c>
      <c r="J47" s="35" t="str">
        <f t="shared" si="40"/>
        <v>pizza</v>
      </c>
      <c r="K47" s="25">
        <f t="shared" si="41"/>
        <v>1</v>
      </c>
      <c r="L47" s="35" t="str">
        <f t="shared" si="42"/>
        <v>No</v>
      </c>
      <c r="M47" s="25">
        <f t="shared" si="43"/>
        <v>0</v>
      </c>
    </row>
    <row r="48" ht="15.75" customHeight="1">
      <c r="B48" s="26" t="s">
        <v>46</v>
      </c>
      <c r="C48" s="27"/>
      <c r="D48" s="27"/>
      <c r="E48" s="29">
        <f>SUM(E40:E47)</f>
        <v>1</v>
      </c>
      <c r="F48" s="26" t="s">
        <v>46</v>
      </c>
      <c r="G48" s="27"/>
      <c r="H48" s="27"/>
      <c r="I48" s="29">
        <f>SUM(I40:I47)</f>
        <v>1</v>
      </c>
      <c r="J48" s="26" t="s">
        <v>46</v>
      </c>
      <c r="K48" s="27"/>
      <c r="L48" s="27"/>
      <c r="M48" s="29">
        <f>SUM(M40:M47)</f>
        <v>1</v>
      </c>
    </row>
    <row r="49" ht="30.0" customHeight="1">
      <c r="B49" s="13" t="s">
        <v>93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2"/>
    </row>
    <row r="50" ht="15.75" customHeight="1"/>
    <row r="51" ht="24.0" customHeight="1">
      <c r="B51" s="9" t="s">
        <v>94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2"/>
    </row>
    <row r="52" ht="15.0" customHeight="1">
      <c r="B52" s="13" t="s">
        <v>95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2"/>
    </row>
    <row r="53" ht="15.0" customHeight="1">
      <c r="B53" s="13" t="s">
        <v>96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2"/>
    </row>
    <row r="54" ht="15.0" customHeight="1">
      <c r="B54" s="13" t="s">
        <v>97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2"/>
    </row>
    <row r="55" ht="15.0" customHeight="1">
      <c r="B55" s="13" t="s">
        <v>98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2"/>
    </row>
    <row r="56" ht="15.0" customHeight="1">
      <c r="B56" s="13" t="s">
        <v>99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2"/>
    </row>
    <row r="57" ht="15.0" customHeight="1">
      <c r="B57" s="13" t="s">
        <v>100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2"/>
    </row>
    <row r="58" ht="15.0" customHeight="1">
      <c r="B58" s="13" t="s">
        <v>101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2"/>
    </row>
    <row r="59" ht="15.0" customHeight="1">
      <c r="B59" s="13" t="s">
        <v>102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2"/>
    </row>
    <row r="60" ht="15.75" customHeight="1"/>
    <row r="61" ht="24.0" customHeight="1">
      <c r="B61" s="9" t="s">
        <v>103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2"/>
    </row>
    <row r="62" ht="36.0" customHeight="1">
      <c r="B62" s="20" t="s">
        <v>104</v>
      </c>
      <c r="C62" s="33"/>
      <c r="D62" s="33"/>
      <c r="E62" s="21"/>
      <c r="F62" s="20" t="s">
        <v>105</v>
      </c>
      <c r="G62" s="33"/>
      <c r="H62" s="33"/>
      <c r="I62" s="21"/>
      <c r="J62" s="20" t="s">
        <v>106</v>
      </c>
      <c r="K62" s="33"/>
      <c r="L62" s="33"/>
      <c r="M62" s="21"/>
    </row>
    <row r="63" ht="36.0" customHeight="1">
      <c r="B63" s="31" t="s">
        <v>107</v>
      </c>
      <c r="C63" s="33"/>
      <c r="D63" s="33"/>
      <c r="E63" s="21"/>
      <c r="F63" s="31" t="s">
        <v>108</v>
      </c>
      <c r="G63" s="33"/>
      <c r="H63" s="33"/>
      <c r="I63" s="21"/>
      <c r="J63" s="31" t="s">
        <v>109</v>
      </c>
      <c r="K63" s="33"/>
      <c r="L63" s="33"/>
      <c r="M63" s="21"/>
    </row>
    <row r="64" ht="36.0" customHeight="1">
      <c r="B64" s="31" t="s">
        <v>110</v>
      </c>
      <c r="C64" s="33"/>
      <c r="D64" s="33"/>
      <c r="E64" s="21"/>
      <c r="F64" s="31" t="s">
        <v>111</v>
      </c>
      <c r="G64" s="33"/>
      <c r="H64" s="33"/>
      <c r="I64" s="21"/>
      <c r="J64" s="31" t="s">
        <v>112</v>
      </c>
      <c r="K64" s="33"/>
      <c r="L64" s="33"/>
      <c r="M64" s="21"/>
    </row>
    <row r="65" ht="36.0" customHeight="1">
      <c r="B65" s="31" t="s">
        <v>113</v>
      </c>
      <c r="C65" s="33"/>
      <c r="D65" s="33"/>
      <c r="E65" s="21"/>
      <c r="F65" s="31" t="s">
        <v>114</v>
      </c>
      <c r="G65" s="33"/>
      <c r="H65" s="33"/>
      <c r="I65" s="21"/>
      <c r="J65" s="31" t="s">
        <v>115</v>
      </c>
      <c r="K65" s="33"/>
      <c r="L65" s="33"/>
      <c r="M65" s="21"/>
    </row>
    <row r="66" ht="15.75" customHeight="1"/>
    <row r="67" ht="24.0" customHeight="1">
      <c r="B67" s="9" t="s">
        <v>116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2"/>
    </row>
    <row r="68" ht="15.0" customHeight="1">
      <c r="B68" s="20" t="s">
        <v>117</v>
      </c>
      <c r="C68" s="33"/>
      <c r="D68" s="33"/>
      <c r="E68" s="21"/>
      <c r="F68" s="20" t="s">
        <v>5</v>
      </c>
      <c r="G68" s="33"/>
      <c r="H68" s="33"/>
      <c r="I68" s="21"/>
      <c r="J68" s="20" t="s">
        <v>9</v>
      </c>
      <c r="K68" s="33"/>
      <c r="L68" s="33"/>
      <c r="M68" s="21"/>
    </row>
    <row r="69" ht="15.0" customHeight="1">
      <c r="B69" s="37" t="s">
        <v>118</v>
      </c>
      <c r="C69" s="33"/>
      <c r="D69" s="33"/>
      <c r="E69" s="21"/>
      <c r="F69" s="37" t="s">
        <v>119</v>
      </c>
      <c r="G69" s="33"/>
      <c r="H69" s="33"/>
      <c r="I69" s="21"/>
      <c r="J69" s="37" t="s">
        <v>120</v>
      </c>
      <c r="K69" s="33"/>
      <c r="L69" s="33"/>
      <c r="M69" s="21"/>
    </row>
    <row r="70" ht="15.0" customHeight="1">
      <c r="B70" s="37" t="s">
        <v>121</v>
      </c>
      <c r="C70" s="33"/>
      <c r="D70" s="33"/>
      <c r="E70" s="21"/>
      <c r="F70" s="37" t="s">
        <v>122</v>
      </c>
      <c r="G70" s="33"/>
      <c r="H70" s="33"/>
      <c r="I70" s="21"/>
      <c r="J70" s="37" t="s">
        <v>123</v>
      </c>
      <c r="K70" s="33"/>
      <c r="L70" s="33"/>
      <c r="M70" s="21"/>
    </row>
    <row r="71" ht="15.0" customHeight="1">
      <c r="B71" s="37" t="s">
        <v>124</v>
      </c>
      <c r="C71" s="33"/>
      <c r="D71" s="33"/>
      <c r="E71" s="21"/>
      <c r="F71" s="37" t="s">
        <v>125</v>
      </c>
      <c r="G71" s="33"/>
      <c r="H71" s="33"/>
      <c r="I71" s="21"/>
      <c r="J71" s="37" t="s">
        <v>120</v>
      </c>
      <c r="K71" s="33"/>
      <c r="L71" s="33"/>
      <c r="M71" s="21"/>
    </row>
    <row r="72" ht="15.0" customHeight="1">
      <c r="B72" s="37" t="s">
        <v>126</v>
      </c>
      <c r="C72" s="33"/>
      <c r="D72" s="33"/>
      <c r="E72" s="21"/>
      <c r="F72" s="37" t="s">
        <v>127</v>
      </c>
      <c r="G72" s="33"/>
      <c r="H72" s="33"/>
      <c r="I72" s="21"/>
      <c r="J72" s="37" t="s">
        <v>120</v>
      </c>
      <c r="K72" s="33"/>
      <c r="L72" s="33"/>
      <c r="M72" s="21"/>
    </row>
    <row r="73" ht="15.0" customHeight="1">
      <c r="B73" s="37" t="s">
        <v>128</v>
      </c>
      <c r="C73" s="33"/>
      <c r="D73" s="33"/>
      <c r="E73" s="21"/>
      <c r="F73" s="37" t="s">
        <v>120</v>
      </c>
      <c r="G73" s="33"/>
      <c r="H73" s="33"/>
      <c r="I73" s="21"/>
      <c r="J73" s="37" t="s">
        <v>123</v>
      </c>
      <c r="K73" s="33"/>
      <c r="L73" s="33"/>
      <c r="M73" s="21"/>
    </row>
    <row r="74" ht="15.0" customHeight="1">
      <c r="B74" s="37" t="s">
        <v>129</v>
      </c>
      <c r="C74" s="33"/>
      <c r="D74" s="33"/>
      <c r="E74" s="21"/>
      <c r="F74" s="37" t="s">
        <v>130</v>
      </c>
      <c r="G74" s="33"/>
      <c r="H74" s="33"/>
      <c r="I74" s="21"/>
      <c r="J74" s="37" t="s">
        <v>123</v>
      </c>
      <c r="K74" s="33"/>
      <c r="L74" s="33"/>
      <c r="M74" s="21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B62:E62"/>
    <mergeCell ref="B63:E63"/>
    <mergeCell ref="F63:I63"/>
    <mergeCell ref="J63:M63"/>
    <mergeCell ref="B64:E64"/>
    <mergeCell ref="F64:I64"/>
    <mergeCell ref="J64:M64"/>
    <mergeCell ref="B65:E65"/>
    <mergeCell ref="F65:I65"/>
    <mergeCell ref="J65:M65"/>
    <mergeCell ref="B67:M67"/>
    <mergeCell ref="B68:E68"/>
    <mergeCell ref="F68:I68"/>
    <mergeCell ref="J68:M68"/>
    <mergeCell ref="F71:I71"/>
    <mergeCell ref="J71:M71"/>
    <mergeCell ref="B69:E69"/>
    <mergeCell ref="F69:I69"/>
    <mergeCell ref="J69:M69"/>
    <mergeCell ref="B70:E70"/>
    <mergeCell ref="F70:I70"/>
    <mergeCell ref="J70:M70"/>
    <mergeCell ref="B71:E71"/>
    <mergeCell ref="B2:M2"/>
    <mergeCell ref="B3:M5"/>
    <mergeCell ref="B7:M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B18:M18"/>
    <mergeCell ref="B20:M20"/>
    <mergeCell ref="B22:E22"/>
    <mergeCell ref="F22:I22"/>
    <mergeCell ref="J22:M22"/>
    <mergeCell ref="D23:E23"/>
    <mergeCell ref="H23:I23"/>
    <mergeCell ref="L23:M23"/>
    <mergeCell ref="B34:M34"/>
    <mergeCell ref="B36:M36"/>
    <mergeCell ref="B37:E37"/>
    <mergeCell ref="F37:I37"/>
    <mergeCell ref="J37:M37"/>
    <mergeCell ref="D38:E38"/>
    <mergeCell ref="H38:I38"/>
    <mergeCell ref="L38:M38"/>
    <mergeCell ref="B49:M49"/>
    <mergeCell ref="B51:M51"/>
    <mergeCell ref="B52:M52"/>
    <mergeCell ref="B53:M53"/>
    <mergeCell ref="B54:M54"/>
    <mergeCell ref="B55:M55"/>
    <mergeCell ref="B56:M56"/>
    <mergeCell ref="B57:M57"/>
    <mergeCell ref="B58:M58"/>
    <mergeCell ref="B59:M59"/>
    <mergeCell ref="B61:M61"/>
    <mergeCell ref="F62:I62"/>
    <mergeCell ref="J62:M62"/>
    <mergeCell ref="F74:I74"/>
    <mergeCell ref="J74:M74"/>
    <mergeCell ref="B72:E72"/>
    <mergeCell ref="F72:I72"/>
    <mergeCell ref="J72:M72"/>
    <mergeCell ref="B73:E73"/>
    <mergeCell ref="F73:I73"/>
    <mergeCell ref="J73:M73"/>
    <mergeCell ref="B74:E74"/>
  </mergeCells>
  <conditionalFormatting sqref="D25:D32">
    <cfRule type="cellIs" dxfId="0" priority="1" operator="equal">
      <formula>"Yes"</formula>
    </cfRule>
  </conditionalFormatting>
  <conditionalFormatting sqref="D25:D32">
    <cfRule type="cellIs" dxfId="1" priority="2" operator="equal">
      <formula>"No"</formula>
    </cfRule>
  </conditionalFormatting>
  <conditionalFormatting sqref="B25:B32">
    <cfRule type="expression" dxfId="0" priority="3">
      <formula>$D25="Yes"</formula>
    </cfRule>
  </conditionalFormatting>
  <conditionalFormatting sqref="B25:B32">
    <cfRule type="expression" dxfId="1" priority="4">
      <formula>$D25="No"</formula>
    </cfRule>
  </conditionalFormatting>
  <conditionalFormatting sqref="C25:C32">
    <cfRule type="expression" dxfId="0" priority="5">
      <formula>$D25="Yes"</formula>
    </cfRule>
  </conditionalFormatting>
  <conditionalFormatting sqref="C25:C32">
    <cfRule type="expression" dxfId="1" priority="6">
      <formula>$D25="No"</formula>
    </cfRule>
  </conditionalFormatting>
  <conditionalFormatting sqref="E25:E32">
    <cfRule type="expression" dxfId="0" priority="7">
      <formula>$D25="Yes"</formula>
    </cfRule>
  </conditionalFormatting>
  <conditionalFormatting sqref="E25:E32">
    <cfRule type="expression" dxfId="1" priority="8">
      <formula>$D25="No"</formula>
    </cfRule>
  </conditionalFormatting>
  <conditionalFormatting sqref="H25:H32">
    <cfRule type="cellIs" dxfId="0" priority="9" operator="equal">
      <formula>"Yes"</formula>
    </cfRule>
  </conditionalFormatting>
  <conditionalFormatting sqref="H25:H32">
    <cfRule type="cellIs" dxfId="1" priority="10" operator="equal">
      <formula>"No"</formula>
    </cfRule>
  </conditionalFormatting>
  <conditionalFormatting sqref="F25:F32">
    <cfRule type="expression" dxfId="0" priority="11">
      <formula>$H25="Yes"</formula>
    </cfRule>
  </conditionalFormatting>
  <conditionalFormatting sqref="F25:F32">
    <cfRule type="expression" dxfId="1" priority="12">
      <formula>$H25="No"</formula>
    </cfRule>
  </conditionalFormatting>
  <conditionalFormatting sqref="G25:G32">
    <cfRule type="expression" dxfId="0" priority="13">
      <formula>$H25="Yes"</formula>
    </cfRule>
  </conditionalFormatting>
  <conditionalFormatting sqref="G25:G32">
    <cfRule type="expression" dxfId="1" priority="14">
      <formula>$H25="No"</formula>
    </cfRule>
  </conditionalFormatting>
  <conditionalFormatting sqref="I25:I32">
    <cfRule type="expression" dxfId="0" priority="15">
      <formula>$H25="Yes"</formula>
    </cfRule>
  </conditionalFormatting>
  <conditionalFormatting sqref="I25:I32">
    <cfRule type="expression" dxfId="1" priority="16">
      <formula>$H25="No"</formula>
    </cfRule>
  </conditionalFormatting>
  <conditionalFormatting sqref="L25:L32">
    <cfRule type="cellIs" dxfId="0" priority="17" operator="equal">
      <formula>"Yes"</formula>
    </cfRule>
  </conditionalFormatting>
  <conditionalFormatting sqref="L25:L32">
    <cfRule type="cellIs" dxfId="1" priority="18" operator="equal">
      <formula>"No"</formula>
    </cfRule>
  </conditionalFormatting>
  <conditionalFormatting sqref="J25:J32">
    <cfRule type="expression" dxfId="0" priority="19">
      <formula>$L25="Yes"</formula>
    </cfRule>
  </conditionalFormatting>
  <conditionalFormatting sqref="J25:J32">
    <cfRule type="expression" dxfId="1" priority="20">
      <formula>$L25="No"</formula>
    </cfRule>
  </conditionalFormatting>
  <conditionalFormatting sqref="K25:K32">
    <cfRule type="expression" dxfId="0" priority="21">
      <formula>$L25="Yes"</formula>
    </cfRule>
  </conditionalFormatting>
  <conditionalFormatting sqref="K25:K32">
    <cfRule type="expression" dxfId="1" priority="22">
      <formula>$L25="No"</formula>
    </cfRule>
  </conditionalFormatting>
  <conditionalFormatting sqref="M25:M32">
    <cfRule type="expression" dxfId="0" priority="23">
      <formula>$L25="Yes"</formula>
    </cfRule>
  </conditionalFormatting>
  <conditionalFormatting sqref="M25:M32">
    <cfRule type="expression" dxfId="1" priority="24">
      <formula>$L25="No"</formula>
    </cfRule>
  </conditionalFormatting>
  <conditionalFormatting sqref="D40:D47">
    <cfRule type="cellIs" dxfId="0" priority="25" operator="equal">
      <formula>"Yes"</formula>
    </cfRule>
  </conditionalFormatting>
  <conditionalFormatting sqref="D40:D47">
    <cfRule type="cellIs" dxfId="1" priority="26" operator="equal">
      <formula>"No"</formula>
    </cfRule>
  </conditionalFormatting>
  <conditionalFormatting sqref="B40:B47">
    <cfRule type="expression" dxfId="0" priority="27">
      <formula>$D40="Yes"</formula>
    </cfRule>
  </conditionalFormatting>
  <conditionalFormatting sqref="B40:B47">
    <cfRule type="expression" dxfId="1" priority="28">
      <formula>$D40="No"</formula>
    </cfRule>
  </conditionalFormatting>
  <conditionalFormatting sqref="C40:C47">
    <cfRule type="expression" dxfId="0" priority="29">
      <formula>$D40="Yes"</formula>
    </cfRule>
  </conditionalFormatting>
  <conditionalFormatting sqref="C40:C47">
    <cfRule type="expression" dxfId="1" priority="30">
      <formula>$D40="No"</formula>
    </cfRule>
  </conditionalFormatting>
  <conditionalFormatting sqref="E40:E47">
    <cfRule type="expression" dxfId="0" priority="31">
      <formula>$D40="Yes"</formula>
    </cfRule>
  </conditionalFormatting>
  <conditionalFormatting sqref="E40:E47">
    <cfRule type="expression" dxfId="1" priority="32">
      <formula>$D40="No"</formula>
    </cfRule>
  </conditionalFormatting>
  <conditionalFormatting sqref="H40:H47">
    <cfRule type="cellIs" dxfId="0" priority="33" operator="equal">
      <formula>"Yes"</formula>
    </cfRule>
  </conditionalFormatting>
  <conditionalFormatting sqref="H40:H47">
    <cfRule type="cellIs" dxfId="1" priority="34" operator="equal">
      <formula>"No"</formula>
    </cfRule>
  </conditionalFormatting>
  <conditionalFormatting sqref="F40:F47">
    <cfRule type="expression" dxfId="0" priority="35">
      <formula>$H40="Yes"</formula>
    </cfRule>
  </conditionalFormatting>
  <conditionalFormatting sqref="F40:F47">
    <cfRule type="expression" dxfId="1" priority="36">
      <formula>$H40="No"</formula>
    </cfRule>
  </conditionalFormatting>
  <conditionalFormatting sqref="G40:G47">
    <cfRule type="expression" dxfId="0" priority="37">
      <formula>$H40="Yes"</formula>
    </cfRule>
  </conditionalFormatting>
  <conditionalFormatting sqref="G40:G47">
    <cfRule type="expression" dxfId="1" priority="38">
      <formula>$H40="No"</formula>
    </cfRule>
  </conditionalFormatting>
  <conditionalFormatting sqref="I40:I47">
    <cfRule type="expression" dxfId="0" priority="39">
      <formula>$H40="Yes"</formula>
    </cfRule>
  </conditionalFormatting>
  <conditionalFormatting sqref="I40:I47">
    <cfRule type="expression" dxfId="1" priority="40">
      <formula>$H40="No"</formula>
    </cfRule>
  </conditionalFormatting>
  <conditionalFormatting sqref="L40:L47">
    <cfRule type="cellIs" dxfId="0" priority="41" operator="equal">
      <formula>"Yes"</formula>
    </cfRule>
  </conditionalFormatting>
  <conditionalFormatting sqref="L40:L47">
    <cfRule type="cellIs" dxfId="1" priority="42" operator="equal">
      <formula>"No"</formula>
    </cfRule>
  </conditionalFormatting>
  <conditionalFormatting sqref="J40:J47">
    <cfRule type="expression" dxfId="0" priority="43">
      <formula>$L40="Yes"</formula>
    </cfRule>
  </conditionalFormatting>
  <conditionalFormatting sqref="J40:J47">
    <cfRule type="expression" dxfId="1" priority="44">
      <formula>$L40="No"</formula>
    </cfRule>
  </conditionalFormatting>
  <conditionalFormatting sqref="K40:K47">
    <cfRule type="expression" dxfId="0" priority="45">
      <formula>$L40="Yes"</formula>
    </cfRule>
  </conditionalFormatting>
  <conditionalFormatting sqref="K40:K47">
    <cfRule type="expression" dxfId="1" priority="46">
      <formula>$L40="No"</formula>
    </cfRule>
  </conditionalFormatting>
  <conditionalFormatting sqref="M40:M47">
    <cfRule type="expression" dxfId="0" priority="47">
      <formula>$L40="Yes"</formula>
    </cfRule>
  </conditionalFormatting>
  <conditionalFormatting sqref="M40:M47">
    <cfRule type="expression" dxfId="1" priority="48">
      <formula>$L40="No"</formula>
    </cfRule>
  </conditionalFormatting>
  <printOptions/>
  <pageMargins bottom="1.0" footer="0.0" header="0.0" left="0.75" right="0.75" top="1.0"/>
  <pageSetup paperSize="9" orientation="portrait"/>
  <drawing r:id="rId1"/>
</worksheet>
</file>